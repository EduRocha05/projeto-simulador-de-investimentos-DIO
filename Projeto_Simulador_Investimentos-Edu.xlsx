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rocha\Documents\Edu\DIOExcel\"/>
    </mc:Choice>
  </mc:AlternateContent>
  <xr:revisionPtr revIDLastSave="0" documentId="13_ncr:1_{16811508-BFA2-4D2E-993A-3DFB81114494}" xr6:coauthVersionLast="47" xr6:coauthVersionMax="47" xr10:uidLastSave="{00000000-0000-0000-0000-000000000000}"/>
  <bookViews>
    <workbookView xWindow="-120" yWindow="-120" windowWidth="29040" windowHeight="15720" tabRatio="177" xr2:uid="{6DB3F2BD-7BFF-4C7D-8533-5E2056201414}"/>
  </bookViews>
  <sheets>
    <sheet name="Planilha1" sheetId="1" r:id="rId1"/>
    <sheet name="Planilha2" sheetId="2" r:id="rId2"/>
  </sheets>
  <definedNames>
    <definedName name="aporte">Planilha1!$D$17</definedName>
    <definedName name="patrimonio">Planilha1!$D$20</definedName>
    <definedName name="qtd_anos">Planilha1!$D$18</definedName>
    <definedName name="rendimento_carteira">Planilha1!$D$13</definedName>
    <definedName name="salario">Planilha1!$D$12</definedName>
    <definedName name="sugestao_investimento">Planilha1!$D$14</definedName>
    <definedName name="taxa_mensal">Planilha1!$D$19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D40" i="1" s="1"/>
  <c r="C41" i="1"/>
  <c r="D41" i="1" s="1"/>
  <c r="C36" i="1"/>
  <c r="D36" i="1" s="1"/>
  <c r="H3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37" i="1" s="1"/>
  <c r="D14" i="1"/>
  <c r="D20" i="1"/>
  <c r="D21" i="1" s="1"/>
  <c r="C26" i="1"/>
  <c r="D26" i="1" s="1"/>
  <c r="C27" i="1"/>
  <c r="D27" i="1" s="1"/>
  <c r="C28" i="1"/>
  <c r="D28" i="1" s="1"/>
  <c r="C29" i="1"/>
  <c r="D29" i="1" s="1"/>
  <c r="C25" i="1"/>
  <c r="D25" i="1" s="1"/>
  <c r="D38" i="1" l="1"/>
  <c r="D39" i="1"/>
  <c r="D42" i="1"/>
</calcChain>
</file>

<file path=xl/sharedStrings.xml><?xml version="1.0" encoding="utf-8"?>
<sst xmlns="http://schemas.openxmlformats.org/spreadsheetml/2006/main" count="71" uniqueCount="34">
  <si>
    <t>Quanto investir por mês?</t>
  </si>
  <si>
    <t>Taxa de rendimento mensal?</t>
  </si>
  <si>
    <t>INVESTIMENTO MENSAL</t>
  </si>
  <si>
    <t>Patrimonio acumulado?</t>
  </si>
  <si>
    <t>Dividendos mensais?</t>
  </si>
  <si>
    <t>Por quantos anos?</t>
  </si>
  <si>
    <t>Quanto em 2 anos?</t>
  </si>
  <si>
    <t>Quanto em 5 anos?</t>
  </si>
  <si>
    <t>Quanto em 10 anos?</t>
  </si>
  <si>
    <t>Quanto em 20 anos?</t>
  </si>
  <si>
    <t>Quanto em 30 anos?</t>
  </si>
  <si>
    <t xml:space="preserve">Cenários </t>
  </si>
  <si>
    <t>Dividendos</t>
  </si>
  <si>
    <t>Rendimento Carteira</t>
  </si>
  <si>
    <t>Salário</t>
  </si>
  <si>
    <t>Sugestão de Invenstimento</t>
  </si>
  <si>
    <t xml:space="preserve">CONFIGURAÇÕES </t>
  </si>
  <si>
    <t>PERFIL</t>
  </si>
  <si>
    <t>Moderado</t>
  </si>
  <si>
    <t>Conservador</t>
  </si>
  <si>
    <t>Valor A ser Investido por Mês</t>
  </si>
  <si>
    <t>TIPO DE FII</t>
  </si>
  <si>
    <t xml:space="preserve">Percentual Sugerido </t>
  </si>
  <si>
    <t>Valores</t>
  </si>
  <si>
    <t>PAPEL</t>
  </si>
  <si>
    <t>TIJOLO</t>
  </si>
  <si>
    <t>Agressivo</t>
  </si>
  <si>
    <t>HIBRIDOS</t>
  </si>
  <si>
    <t>FOFS</t>
  </si>
  <si>
    <t>DESENVOLVIMENTO</t>
  </si>
  <si>
    <t>HOTELARIAS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</si>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</sst>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/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/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theme="0" tint="-4.9989318521683403E-2"/>
      </bottom>
      <diagonal/>
    </border>
    <border>
      <left style="medium">
        <color indexed="64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theme="0" tint="-4.9989318521683403E-2"/>
      </right>
      <top style="medium">
        <color theme="0" tint="-4.9989318521683403E-2"/>
      </top>
      <bottom style="medium">
        <color indexed="64"/>
      </bottom>
      <diagonal/>
    </border>
    <border>
      <left style="medium">
        <color theme="0" tint="-4.9989318521683403E-2"/>
      </left>
      <right style="medium">
        <color indexed="64"/>
      </right>
      <top style="medium">
        <color theme="0" tint="-4.9989318521683403E-2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5">
    <xf numFmtId="0" fontId="0" fillId="0" borderId="0" xfId="0"/>
    <xf numFmtId="0" fontId="5" fillId="3" borderId="1" xfId="0" applyFont="1" applyFill="1" applyBorder="1" applyAlignment="1">
      <alignment horizontal="left" vertical="center"/>
    </xf>
    <xf numFmtId="0" fontId="4" fillId="0" borderId="0" xfId="0" applyFont="1"/>
    <xf numFmtId="0" fontId="5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left" indent="3"/>
    </xf>
    <xf numFmtId="0" fontId="7" fillId="4" borderId="6" xfId="0" applyFont="1" applyFill="1" applyBorder="1" applyAlignment="1">
      <alignment horizontal="left" indent="3"/>
    </xf>
    <xf numFmtId="167" fontId="0" fillId="0" borderId="7" xfId="0" applyNumberFormat="1" applyBorder="1" applyAlignment="1">
      <alignment horizontal="center"/>
    </xf>
    <xf numFmtId="0" fontId="7" fillId="4" borderId="8" xfId="0" applyFont="1" applyFill="1" applyBorder="1" applyAlignment="1">
      <alignment horizontal="left" indent="3"/>
    </xf>
    <xf numFmtId="0" fontId="7" fillId="4" borderId="9" xfId="0" applyFont="1" applyFill="1" applyBorder="1" applyAlignment="1">
      <alignment horizontal="left" indent="3"/>
    </xf>
    <xf numFmtId="10" fontId="0" fillId="0" borderId="10" xfId="0" applyNumberFormat="1" applyBorder="1" applyAlignment="1">
      <alignment horizontal="center"/>
    </xf>
    <xf numFmtId="0" fontId="7" fillId="4" borderId="11" xfId="0" applyFont="1" applyFill="1" applyBorder="1" applyAlignment="1">
      <alignment horizontal="left" indent="3"/>
    </xf>
    <xf numFmtId="0" fontId="7" fillId="4" borderId="12" xfId="0" applyFont="1" applyFill="1" applyBorder="1" applyAlignment="1">
      <alignment horizontal="left" indent="3"/>
    </xf>
    <xf numFmtId="167" fontId="0" fillId="4" borderId="13" xfId="0" applyNumberFormat="1" applyFill="1" applyBorder="1" applyAlignment="1">
      <alignment horizontal="center"/>
    </xf>
    <xf numFmtId="167" fontId="3" fillId="0" borderId="7" xfId="1" applyNumberFormat="1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0" fontId="3" fillId="0" borderId="10" xfId="0" applyNumberFormat="1" applyFont="1" applyBorder="1" applyAlignment="1">
      <alignment horizontal="center"/>
    </xf>
    <xf numFmtId="0" fontId="8" fillId="5" borderId="8" xfId="0" applyFont="1" applyFill="1" applyBorder="1" applyAlignment="1">
      <alignment horizontal="left" indent="3"/>
    </xf>
    <xf numFmtId="0" fontId="8" fillId="5" borderId="9" xfId="0" applyFont="1" applyFill="1" applyBorder="1" applyAlignment="1">
      <alignment horizontal="left" indent="3"/>
    </xf>
    <xf numFmtId="8" fontId="3" fillId="5" borderId="10" xfId="0" applyNumberFormat="1" applyFont="1" applyFill="1" applyBorder="1" applyAlignment="1">
      <alignment horizontal="center"/>
    </xf>
    <xf numFmtId="0" fontId="8" fillId="5" borderId="11" xfId="0" applyFont="1" applyFill="1" applyBorder="1" applyAlignment="1">
      <alignment horizontal="left" indent="3"/>
    </xf>
    <xf numFmtId="0" fontId="8" fillId="5" borderId="12" xfId="0" applyFont="1" applyFill="1" applyBorder="1" applyAlignment="1">
      <alignment horizontal="left" indent="3"/>
    </xf>
    <xf numFmtId="8" fontId="3" fillId="5" borderId="13" xfId="0" applyNumberFormat="1" applyFont="1" applyFill="1" applyBorder="1" applyAlignment="1">
      <alignment horizontal="center"/>
    </xf>
    <xf numFmtId="0" fontId="7" fillId="5" borderId="5" xfId="0" applyFont="1" applyFill="1" applyBorder="1" applyAlignment="1">
      <alignment horizontal="left" indent="3"/>
    </xf>
    <xf numFmtId="8" fontId="0" fillId="5" borderId="6" xfId="0" applyNumberFormat="1" applyFill="1" applyBorder="1" applyAlignment="1">
      <alignment horizontal="center"/>
    </xf>
    <xf numFmtId="8" fontId="0" fillId="5" borderId="7" xfId="0" applyNumberFormat="1" applyFill="1" applyBorder="1" applyAlignment="1">
      <alignment horizontal="center"/>
    </xf>
    <xf numFmtId="0" fontId="7" fillId="5" borderId="8" xfId="0" applyFont="1" applyFill="1" applyBorder="1" applyAlignment="1">
      <alignment horizontal="left" indent="3"/>
    </xf>
    <xf numFmtId="8" fontId="0" fillId="5" borderId="9" xfId="0" applyNumberFormat="1" applyFill="1" applyBorder="1" applyAlignment="1">
      <alignment horizontal="center"/>
    </xf>
    <xf numFmtId="8" fontId="0" fillId="5" borderId="10" xfId="0" applyNumberFormat="1" applyFill="1" applyBorder="1" applyAlignment="1">
      <alignment horizontal="center"/>
    </xf>
    <xf numFmtId="0" fontId="7" fillId="5" borderId="11" xfId="0" applyFont="1" applyFill="1" applyBorder="1" applyAlignment="1">
      <alignment horizontal="left" indent="3"/>
    </xf>
    <xf numFmtId="8" fontId="0" fillId="5" borderId="12" xfId="0" applyNumberFormat="1" applyFill="1" applyBorder="1" applyAlignment="1">
      <alignment horizontal="center"/>
    </xf>
    <xf numFmtId="8" fontId="0" fillId="5" borderId="13" xfId="0" applyNumberFormat="1" applyFill="1" applyBorder="1" applyAlignment="1">
      <alignment horizontal="center"/>
    </xf>
    <xf numFmtId="0" fontId="2" fillId="2" borderId="0" xfId="2"/>
    <xf numFmtId="0" fontId="0" fillId="4" borderId="0" xfId="0" applyFill="1"/>
    <xf numFmtId="167" fontId="0" fillId="4" borderId="0" xfId="0" applyNumberFormat="1" applyFill="1"/>
    <xf numFmtId="0" fontId="3" fillId="4" borderId="0" xfId="0" applyFont="1" applyFill="1" applyAlignment="1">
      <alignment horizontal="center"/>
    </xf>
    <xf numFmtId="167" fontId="3" fillId="4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167" fontId="0" fillId="7" borderId="0" xfId="0" applyNumberFormat="1" applyFill="1"/>
    <xf numFmtId="0" fontId="2" fillId="2" borderId="0" xfId="2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10" fontId="0" fillId="0" borderId="0" xfId="0" applyNumberFormat="1"/>
    <xf numFmtId="0" fontId="4" fillId="8" borderId="0" xfId="0" applyFont="1" applyFill="1"/>
    <xf numFmtId="0" fontId="4" fillId="8" borderId="0" xfId="0" applyFont="1" applyFill="1" applyAlignment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B0-424D-8071-B2A647BCCA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561974</xdr:colOff>
      <xdr:row>42</xdr:row>
      <xdr:rowOff>147637</xdr:rowOff>
    </xdr:from>
    <xdr:to>
      <xdr:col>4</xdr:col>
      <xdr:colOff>9524</xdr:colOff>
      <xdr:row>57</xdr:row>
      <xdr:rowOff>33337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03376BF-7F79-8192-F6A9-341F40F40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541323</xdr:colOff>
      <xdr:row>2</xdr:row>
      <xdr:rowOff>104776</xdr:rowOff>
    </xdr:from>
    <xdr:to>
      <xdr:col>4</xdr:col>
      <xdr:colOff>0</xdr:colOff>
      <xdr:row>7</xdr:row>
      <xdr:rowOff>180976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AEF3942D-6D53-8D8F-5C43-29B8D89FAC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666" b="17284"/>
        <a:stretch>
          <a:fillRect/>
        </a:stretch>
      </xdr:blipFill>
      <xdr:spPr>
        <a:xfrm>
          <a:off x="541323" y="485776"/>
          <a:ext cx="6345252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F039-F277-45AB-B265-7546E37F2365}">
  <dimension ref="A10:H53"/>
  <sheetViews>
    <sheetView showGridLines="0" tabSelected="1" workbookViewId="0">
      <selection activeCell="C10" sqref="C10"/>
    </sheetView>
  </sheetViews>
  <sheetFormatPr defaultColWidth="0" defaultRowHeight="15" x14ac:dyDescent="0.25"/>
  <cols>
    <col min="1" max="1" width="9.140625" customWidth="1"/>
    <col min="2" max="2" width="42.5703125" customWidth="1"/>
    <col min="3" max="3" width="37.28515625" customWidth="1"/>
    <col min="4" max="4" width="14.28515625" customWidth="1"/>
    <col min="5" max="5" width="9.5703125" customWidth="1"/>
    <col min="6" max="6" width="2.7109375" hidden="1" customWidth="1"/>
    <col min="7" max="7" width="3.42578125" hidden="1" customWidth="1"/>
    <col min="8" max="8" width="3.85546875" hidden="1" customWidth="1"/>
    <col min="9" max="11" width="9.140625" hidden="1" customWidth="1"/>
    <col min="12" max="16384" width="9.140625" hidden="1"/>
  </cols>
  <sheetData>
    <row r="10" spans="2:4" ht="15.75" thickBot="1" x14ac:dyDescent="0.3"/>
    <row r="11" spans="2:4" ht="26.25" x14ac:dyDescent="0.25">
      <c r="B11" s="9" t="s">
        <v>16</v>
      </c>
      <c r="C11" s="11"/>
      <c r="D11" s="10"/>
    </row>
    <row r="12" spans="2:4" ht="16.5" thickBot="1" x14ac:dyDescent="0.3">
      <c r="B12" s="12" t="s">
        <v>14</v>
      </c>
      <c r="C12" s="13"/>
      <c r="D12" s="14">
        <v>4200</v>
      </c>
    </row>
    <row r="13" spans="2:4" ht="16.5" thickBot="1" x14ac:dyDescent="0.3">
      <c r="B13" s="15" t="s">
        <v>13</v>
      </c>
      <c r="C13" s="16"/>
      <c r="D13" s="17">
        <v>6.0000000000000001E-3</v>
      </c>
    </row>
    <row r="14" spans="2:4" ht="16.5" thickBot="1" x14ac:dyDescent="0.3">
      <c r="B14" s="18" t="s">
        <v>15</v>
      </c>
      <c r="C14" s="19"/>
      <c r="D14" s="20">
        <f>D12*30%</f>
        <v>1260</v>
      </c>
    </row>
    <row r="15" spans="2:4" ht="15.75" thickBot="1" x14ac:dyDescent="0.3"/>
    <row r="16" spans="2:4" ht="26.25" x14ac:dyDescent="0.25">
      <c r="B16" s="5" t="s">
        <v>2</v>
      </c>
      <c r="C16" s="6"/>
      <c r="D16" s="3"/>
    </row>
    <row r="17" spans="1:4" ht="16.5" thickBot="1" x14ac:dyDescent="0.3">
      <c r="B17" s="12" t="s">
        <v>0</v>
      </c>
      <c r="C17" s="13"/>
      <c r="D17" s="21">
        <v>1260</v>
      </c>
    </row>
    <row r="18" spans="1:4" ht="16.5" thickBot="1" x14ac:dyDescent="0.3">
      <c r="B18" s="15" t="s">
        <v>5</v>
      </c>
      <c r="C18" s="16"/>
      <c r="D18" s="22">
        <v>10</v>
      </c>
    </row>
    <row r="19" spans="1:4" ht="16.5" thickBot="1" x14ac:dyDescent="0.3">
      <c r="B19" s="15" t="s">
        <v>1</v>
      </c>
      <c r="C19" s="16"/>
      <c r="D19" s="23">
        <v>1.0789999999999999E-2</v>
      </c>
    </row>
    <row r="20" spans="1:4" ht="16.5" thickBot="1" x14ac:dyDescent="0.3">
      <c r="B20" s="24" t="s">
        <v>3</v>
      </c>
      <c r="C20" s="25"/>
      <c r="D20" s="26">
        <f>FV(taxa_mensal,qtd_anos*12,aporte*-1)</f>
        <v>306538.10778801696</v>
      </c>
    </row>
    <row r="21" spans="1:4" ht="16.5" thickBot="1" x14ac:dyDescent="0.3">
      <c r="B21" s="27" t="s">
        <v>4</v>
      </c>
      <c r="C21" s="28"/>
      <c r="D21" s="29">
        <f>patrimonio*rendimento_carteira</f>
        <v>1839.2286467281017</v>
      </c>
    </row>
    <row r="23" spans="1:4" ht="15.75" thickBot="1" x14ac:dyDescent="0.3"/>
    <row r="24" spans="1:4" ht="26.25" x14ac:dyDescent="0.25">
      <c r="B24" s="1" t="s">
        <v>11</v>
      </c>
      <c r="C24" s="7"/>
      <c r="D24" s="8" t="s">
        <v>12</v>
      </c>
    </row>
    <row r="25" spans="1:4" ht="16.5" thickBot="1" x14ac:dyDescent="0.3">
      <c r="A25" s="2">
        <v>2</v>
      </c>
      <c r="B25" s="30" t="s">
        <v>6</v>
      </c>
      <c r="C25" s="31">
        <f>FV($D$19,$A25*12,$D$17*-1)</f>
        <v>34306.810395032975</v>
      </c>
      <c r="D25" s="32">
        <f>C25*rendimento_carteira</f>
        <v>205.84086237019787</v>
      </c>
    </row>
    <row r="26" spans="1:4" ht="16.5" thickBot="1" x14ac:dyDescent="0.3">
      <c r="A26" s="2">
        <v>5</v>
      </c>
      <c r="B26" s="33" t="s">
        <v>7</v>
      </c>
      <c r="C26" s="34">
        <f>FV($D$19,$A26*12,$D$17*-1)</f>
        <v>105558.91163809443</v>
      </c>
      <c r="D26" s="35">
        <f>C26*rendimento_carteira</f>
        <v>633.35346982856663</v>
      </c>
    </row>
    <row r="27" spans="1:4" ht="16.5" thickBot="1" x14ac:dyDescent="0.3">
      <c r="A27" s="2">
        <v>10</v>
      </c>
      <c r="B27" s="33" t="s">
        <v>8</v>
      </c>
      <c r="C27" s="34">
        <f>FV($D$19,$A27*12,$D$17*-1)</f>
        <v>306538.10778801696</v>
      </c>
      <c r="D27" s="35">
        <f>C27*rendimento_carteira</f>
        <v>1839.2286467281017</v>
      </c>
    </row>
    <row r="28" spans="1:4" ht="16.5" thickBot="1" x14ac:dyDescent="0.3">
      <c r="A28" s="2">
        <v>20</v>
      </c>
      <c r="B28" s="33" t="s">
        <v>9</v>
      </c>
      <c r="C28" s="34">
        <f>FV($D$19,$A28*12,$D$17*-1)</f>
        <v>1417749.9841223215</v>
      </c>
      <c r="D28" s="35">
        <f>C28*rendimento_carteira</f>
        <v>8506.4999047339297</v>
      </c>
    </row>
    <row r="29" spans="1:4" ht="16.5" thickBot="1" x14ac:dyDescent="0.3">
      <c r="A29" s="2">
        <v>30</v>
      </c>
      <c r="B29" s="36" t="s">
        <v>10</v>
      </c>
      <c r="C29" s="37">
        <f>FV($D$19,$A29*12,$D$17*-1)</f>
        <v>5445933.7653059401</v>
      </c>
      <c r="D29" s="38">
        <f>C29*rendimento_carteira</f>
        <v>32675.602591835643</v>
      </c>
    </row>
    <row r="32" spans="1:4" x14ac:dyDescent="0.25">
      <c r="B32" s="39" t="s">
        <v>17</v>
      </c>
      <c r="C32" s="48" t="s">
        <v>26</v>
      </c>
      <c r="D32" s="39"/>
    </row>
    <row r="33" spans="2:4" x14ac:dyDescent="0.25">
      <c r="B33" s="42" t="s">
        <v>20</v>
      </c>
      <c r="C33" s="43">
        <f>aporte</f>
        <v>1260</v>
      </c>
      <c r="D33" s="40"/>
    </row>
    <row r="35" spans="2:4" x14ac:dyDescent="0.25">
      <c r="B35" s="45" t="s">
        <v>21</v>
      </c>
      <c r="C35" s="45" t="s">
        <v>22</v>
      </c>
      <c r="D35" s="45" t="s">
        <v>23</v>
      </c>
    </row>
    <row r="36" spans="2:4" x14ac:dyDescent="0.25">
      <c r="B36" s="4" t="s">
        <v>24</v>
      </c>
      <c r="C36" s="44">
        <f>VLOOKUP($C$32&amp;"-"&amp;B36,Planilha2!$A:$D,4,FALSE)</f>
        <v>0.5</v>
      </c>
      <c r="D36" s="41">
        <f>C36*$C$33</f>
        <v>630</v>
      </c>
    </row>
    <row r="37" spans="2:4" x14ac:dyDescent="0.25">
      <c r="B37" s="4" t="s">
        <v>25</v>
      </c>
      <c r="C37" s="44">
        <f>VLOOKUP($C$32&amp;"-"&amp;B37,Planilha2!$A:$D,4,FALSE)</f>
        <v>0.1</v>
      </c>
      <c r="D37" s="41">
        <f t="shared" ref="D37:D41" si="0">C37*$C$33</f>
        <v>126</v>
      </c>
    </row>
    <row r="38" spans="2:4" x14ac:dyDescent="0.25">
      <c r="B38" s="4" t="s">
        <v>27</v>
      </c>
      <c r="C38" s="44">
        <f>VLOOKUP($C$32&amp;"-"&amp;B38,Planilha2!$A:$D,4,FALSE)</f>
        <v>0.05</v>
      </c>
      <c r="D38" s="41">
        <f t="shared" si="0"/>
        <v>63</v>
      </c>
    </row>
    <row r="39" spans="2:4" x14ac:dyDescent="0.25">
      <c r="B39" s="4" t="s">
        <v>28</v>
      </c>
      <c r="C39" s="44">
        <f>VLOOKUP($C$32&amp;"-"&amp;B39,Planilha2!$A:$D,4,FALSE)</f>
        <v>0.05</v>
      </c>
      <c r="D39" s="41">
        <f t="shared" si="0"/>
        <v>63</v>
      </c>
    </row>
    <row r="40" spans="2:4" x14ac:dyDescent="0.25">
      <c r="B40" s="4" t="s">
        <v>29</v>
      </c>
      <c r="C40" s="44">
        <f>VLOOKUP($C$32&amp;"-"&amp;B40,Planilha2!$A:$D,4,FALSE)</f>
        <v>0.2</v>
      </c>
      <c r="D40" s="41">
        <f t="shared" si="0"/>
        <v>252</v>
      </c>
    </row>
    <row r="41" spans="2:4" x14ac:dyDescent="0.25">
      <c r="B41" s="4" t="s">
        <v>30</v>
      </c>
      <c r="C41" s="44">
        <f>VLOOKUP($C$32&amp;"-"&amp;B41,Planilha2!$A:$D,4,FALSE)</f>
        <v>0.1</v>
      </c>
      <c r="D41" s="41">
        <f t="shared" si="0"/>
        <v>126</v>
      </c>
    </row>
    <row r="42" spans="2:4" x14ac:dyDescent="0.25">
      <c r="B42" s="46"/>
      <c r="C42" s="46"/>
      <c r="D42" s="47">
        <f>SUM(D36:D41)</f>
        <v>1260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</sheetData>
  <mergeCells count="11">
    <mergeCell ref="B21:C21"/>
    <mergeCell ref="B11:C11"/>
    <mergeCell ref="B12:C12"/>
    <mergeCell ref="B13:C13"/>
    <mergeCell ref="B14:C14"/>
    <mergeCell ref="B16:C16"/>
    <mergeCell ref="B24:C24"/>
    <mergeCell ref="B17:C17"/>
    <mergeCell ref="B18:C18"/>
    <mergeCell ref="B19:C19"/>
    <mergeCell ref="B20:C20"/>
  </mergeCells>
  <dataValidations count="1">
    <dataValidation type="list" allowBlank="1" showInputMessage="1" showErrorMessage="1" sqref="C32" xr:uid="{8902562A-5798-4EBC-92B5-46ADABE3FE17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2FE28-80A9-4D11-92A3-98AE6F03BAF8}">
  <dimension ref="A2:H20"/>
  <sheetViews>
    <sheetView workbookViewId="0">
      <selection activeCell="G19" sqref="G19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9" bestFit="1" customWidth="1"/>
    <col min="7" max="7" width="17" bestFit="1" customWidth="1"/>
    <col min="8" max="8" width="20.140625" customWidth="1"/>
  </cols>
  <sheetData>
    <row r="2" spans="1:8" x14ac:dyDescent="0.25">
      <c r="A2" s="53" t="s">
        <v>32</v>
      </c>
      <c r="B2" s="53" t="s">
        <v>17</v>
      </c>
      <c r="C2" s="54" t="s">
        <v>21</v>
      </c>
      <c r="D2" s="54" t="s">
        <v>31</v>
      </c>
      <c r="H2" t="s">
        <v>31</v>
      </c>
    </row>
    <row r="3" spans="1:8" x14ac:dyDescent="0.25">
      <c r="A3" t="str">
        <f>B3&amp;"-"&amp;C3</f>
        <v>Conservador-PAPEL</v>
      </c>
      <c r="B3" t="s">
        <v>19</v>
      </c>
      <c r="C3" s="4" t="s">
        <v>24</v>
      </c>
      <c r="D3" s="44">
        <v>0.3</v>
      </c>
      <c r="G3" t="s">
        <v>33</v>
      </c>
      <c r="H3" s="52">
        <f>VLOOKUP(G3,$A:$D,4,FALSE)</f>
        <v>0.35</v>
      </c>
    </row>
    <row r="4" spans="1:8" x14ac:dyDescent="0.25">
      <c r="A4" t="str">
        <f t="shared" ref="A4:A20" si="0">B4&amp;"-"&amp;C4</f>
        <v>Conservador-TIJOLO</v>
      </c>
      <c r="B4" t="s">
        <v>19</v>
      </c>
      <c r="C4" s="4" t="s">
        <v>25</v>
      </c>
      <c r="D4" s="44">
        <v>0.5</v>
      </c>
    </row>
    <row r="5" spans="1:8" x14ac:dyDescent="0.25">
      <c r="A5" t="str">
        <f t="shared" si="0"/>
        <v>Conservador-HIBRIDOS</v>
      </c>
      <c r="B5" t="s">
        <v>19</v>
      </c>
      <c r="C5" s="4" t="s">
        <v>27</v>
      </c>
      <c r="D5" s="44">
        <v>0.1</v>
      </c>
    </row>
    <row r="6" spans="1:8" x14ac:dyDescent="0.25">
      <c r="A6" t="str">
        <f t="shared" si="0"/>
        <v>Conservador-FOFS</v>
      </c>
      <c r="B6" t="s">
        <v>19</v>
      </c>
      <c r="C6" s="4" t="s">
        <v>28</v>
      </c>
      <c r="D6" s="44">
        <v>0.1</v>
      </c>
    </row>
    <row r="7" spans="1:8" x14ac:dyDescent="0.25">
      <c r="A7" t="str">
        <f t="shared" si="0"/>
        <v>Conservador-DESENVOLVIMENTO</v>
      </c>
      <c r="B7" t="s">
        <v>19</v>
      </c>
      <c r="C7" s="4" t="s">
        <v>29</v>
      </c>
      <c r="D7" s="44">
        <v>0</v>
      </c>
    </row>
    <row r="8" spans="1:8" ht="15.75" thickBot="1" x14ac:dyDescent="0.3">
      <c r="A8" s="49" t="str">
        <f t="shared" si="0"/>
        <v>Conservador-HOTELARIAS</v>
      </c>
      <c r="B8" s="49" t="s">
        <v>19</v>
      </c>
      <c r="C8" s="50" t="s">
        <v>30</v>
      </c>
      <c r="D8" s="51">
        <v>0</v>
      </c>
    </row>
    <row r="9" spans="1:8" x14ac:dyDescent="0.25">
      <c r="A9" t="str">
        <f t="shared" si="0"/>
        <v>Moderado-PAPEL</v>
      </c>
      <c r="B9" t="s">
        <v>18</v>
      </c>
      <c r="C9" s="4" t="s">
        <v>24</v>
      </c>
      <c r="D9" s="44">
        <v>0.32</v>
      </c>
    </row>
    <row r="10" spans="1:8" x14ac:dyDescent="0.25">
      <c r="A10" t="str">
        <f t="shared" si="0"/>
        <v>Moderado-TIJOLO</v>
      </c>
      <c r="B10" t="s">
        <v>18</v>
      </c>
      <c r="C10" s="4" t="s">
        <v>25</v>
      </c>
      <c r="D10" s="44">
        <v>0.35</v>
      </c>
    </row>
    <row r="11" spans="1:8" x14ac:dyDescent="0.25">
      <c r="A11" t="str">
        <f t="shared" si="0"/>
        <v>Moderado-HIBRIDOS</v>
      </c>
      <c r="B11" t="s">
        <v>18</v>
      </c>
      <c r="C11" s="4" t="s">
        <v>27</v>
      </c>
      <c r="D11" s="44">
        <v>0.08</v>
      </c>
    </row>
    <row r="12" spans="1:8" x14ac:dyDescent="0.25">
      <c r="A12" t="str">
        <f t="shared" si="0"/>
        <v>Moderado-FOFS</v>
      </c>
      <c r="B12" t="s">
        <v>18</v>
      </c>
      <c r="C12" s="4" t="s">
        <v>28</v>
      </c>
      <c r="D12" s="44">
        <v>0.05</v>
      </c>
    </row>
    <row r="13" spans="1:8" x14ac:dyDescent="0.25">
      <c r="A13" t="str">
        <f t="shared" si="0"/>
        <v>Moderado-DESENVOLVIMENTO</v>
      </c>
      <c r="B13" t="s">
        <v>18</v>
      </c>
      <c r="C13" s="4" t="s">
        <v>29</v>
      </c>
      <c r="D13" s="44">
        <v>0.1</v>
      </c>
    </row>
    <row r="14" spans="1:8" ht="15.75" thickBot="1" x14ac:dyDescent="0.3">
      <c r="A14" s="49" t="str">
        <f t="shared" si="0"/>
        <v>Moderado-HOTELARIAS</v>
      </c>
      <c r="B14" s="49" t="s">
        <v>18</v>
      </c>
      <c r="C14" s="50" t="s">
        <v>30</v>
      </c>
      <c r="D14" s="51">
        <v>0.1</v>
      </c>
    </row>
    <row r="15" spans="1:8" x14ac:dyDescent="0.25">
      <c r="A15" t="str">
        <f t="shared" si="0"/>
        <v>Agressivo-PAPEL</v>
      </c>
      <c r="B15" t="s">
        <v>26</v>
      </c>
      <c r="C15" s="4" t="s">
        <v>24</v>
      </c>
      <c r="D15" s="44">
        <v>0.5</v>
      </c>
    </row>
    <row r="16" spans="1:8" x14ac:dyDescent="0.25">
      <c r="A16" t="str">
        <f t="shared" si="0"/>
        <v>Agressivo-TIJOLO</v>
      </c>
      <c r="B16" t="s">
        <v>26</v>
      </c>
      <c r="C16" s="4" t="s">
        <v>25</v>
      </c>
      <c r="D16" s="44">
        <v>0.1</v>
      </c>
    </row>
    <row r="17" spans="1:4" x14ac:dyDescent="0.25">
      <c r="A17" t="str">
        <f t="shared" si="0"/>
        <v>Agressivo-HIBRIDOS</v>
      </c>
      <c r="B17" t="s">
        <v>26</v>
      </c>
      <c r="C17" s="4" t="s">
        <v>27</v>
      </c>
      <c r="D17" s="44">
        <v>0.05</v>
      </c>
    </row>
    <row r="18" spans="1:4" x14ac:dyDescent="0.25">
      <c r="A18" t="str">
        <f t="shared" si="0"/>
        <v>Agressivo-FOFS</v>
      </c>
      <c r="B18" t="s">
        <v>26</v>
      </c>
      <c r="C18" s="4" t="s">
        <v>28</v>
      </c>
      <c r="D18" s="44">
        <v>0.05</v>
      </c>
    </row>
    <row r="19" spans="1:4" x14ac:dyDescent="0.25">
      <c r="A19" t="str">
        <f t="shared" si="0"/>
        <v>Agressivo-DESENVOLVIMENTO</v>
      </c>
      <c r="B19" t="s">
        <v>26</v>
      </c>
      <c r="C19" s="4" t="s">
        <v>29</v>
      </c>
      <c r="D19" s="44">
        <v>0.2</v>
      </c>
    </row>
    <row r="20" spans="1:4" x14ac:dyDescent="0.25">
      <c r="A20" t="str">
        <f t="shared" si="0"/>
        <v>Agressivo-HOTELARIAS</v>
      </c>
      <c r="B20" t="s">
        <v>26</v>
      </c>
      <c r="C20" s="4" t="s">
        <v>30</v>
      </c>
      <c r="D20" s="44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de Oliveira Rocha</dc:creator>
  <cp:lastModifiedBy>Eduardo de Oliveira Rocha</cp:lastModifiedBy>
  <dcterms:created xsi:type="dcterms:W3CDTF">2026-09-22T11:28:24Z</dcterms:created>
  <dcterms:modified xsi:type="dcterms:W3CDTF">2026-09-22T18:26:21Z</dcterms:modified>
</cp:coreProperties>
</file>